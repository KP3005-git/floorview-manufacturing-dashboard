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40a7d0ca6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a83be4304a4946"/>
    <x:sheet xmlns:r="http://schemas.openxmlformats.org/officeDocument/2006/relationships" name="Detail" sheetId="2" r:id="Rb0af98fdbe48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mm/dd/yy"/>
    <x:numFmt numFmtId="203" formatCode="0"/>
  </x:numFmts>
  <x:fonts count="6">
    <x:font>
      <x:sz val="11"/>
      <x:name val="Carlito"/>
    </x:font>
    <x:font>
      <x:sz val="11"/>
      <x:color rgb="FF172033"/>
      <x:name val="Arial"/>
    </x:font>
    <x:font>
      <x:b/>
      <x:sz val="17"/>
      <x:color rgb="FF183B56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183B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0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e20b0b93544fe" /><Relationship Type="http://schemas.openxmlformats.org/officeDocument/2006/relationships/theme" Target="/xl/theme/theme1.xml" Id="Rc87ac42be8824775" /><Relationship Type="http://schemas.openxmlformats.org/officeDocument/2006/relationships/sharedStrings" Target="/xl/sharedStrings.xml" Id="R302ddfa76b9f41ff" /><Relationship Type="http://schemas.openxmlformats.org/officeDocument/2006/relationships/worksheet" Target="/xl/worksheets/sheet1.xml" Id="R74a83be4304a4946" /><Relationship Type="http://schemas.openxmlformats.org/officeDocument/2006/relationships/worksheet" Target="/xl/worksheets/sheet2.xml" Id="Rb0af98fdbe4844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Weekly production report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Oct 5, 2026 to Oct 11, 2026 | Both shifts</x:v>
      </x:c>
      <x:c r="B3" s="2"/>
      <x:c r="C3" s="2"/>
      <x:c r="D3" s="2"/>
      <x:c r="E3" s="2"/>
      <x:c r="F3" s="2"/>
      <x:c r="G3" s="2"/>
      <x:c r="H3" s="2"/>
    </x:row>
    <x:row r="4" ht="24" customHeight="1">
      <x:c r="A4" s="4" t="str">
        <x:v>Synthetic demonstration data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Production line</x:v>
      </x:c>
      <x:c r="B7" s="7" t="str">
        <x:v>Completed units</x:v>
      </x:c>
      <x:c r="C7" s="7" t="str">
        <x:v>First-pass units</x:v>
      </x:c>
      <x:c r="D7" s="7" t="str">
        <x:v>Reworked units</x:v>
      </x:c>
      <x:c r="E7" s="7" t="str">
        <x:v>First pass yield</x:v>
      </x:c>
      <x:c r="F7" s="2"/>
      <x:c r="G7" s="2"/>
      <x:c r="H7" s="2"/>
    </x:row>
    <x:row r="8" ht="28" customHeight="1">
      <x:c r="A8" s="2" t="str">
        <x:v>Line A</x:v>
      </x:c>
      <x:c r="B8" s="10" t="n">
        <x:f>SUMIFS('Detail'!$D$5:$D$46,'Detail'!$C$5:$C$46,A8)</x:f>
        <x:v>798</x:v>
      </x:c>
      <x:c r="C8" s="10" t="n">
        <x:f>SUMIFS('Detail'!$E$5:$E$46,'Detail'!$C$5:$C$46,A8)</x:f>
        <x:v>723</x:v>
      </x:c>
      <x:c r="D8" s="10" t="n">
        <x:f>SUMIFS('Detail'!$F$5:$F$46,'Detail'!$C$5:$C$46,A8)</x:f>
        <x:v>75</x:v>
      </x:c>
      <x:c r="E8" s="11" t="n">
        <x:f>IF(B8=0,"",C8/B8)</x:f>
        <x:v>0.9060150375939849</x:v>
      </x:c>
      <x:c r="F8" s="2"/>
      <x:c r="G8" s="2"/>
      <x:c r="H8" s="2"/>
    </x:row>
    <x:row r="9" ht="28" customHeight="1">
      <x:c r="A9" s="2" t="str">
        <x:v>Line B</x:v>
      </x:c>
      <x:c r="B9" s="10" t="n">
        <x:f>SUMIFS('Detail'!$D$5:$D$46,'Detail'!$C$5:$C$46,A9)</x:f>
        <x:v>868</x:v>
      </x:c>
      <x:c r="C9" s="10" t="n">
        <x:f>SUMIFS('Detail'!$E$5:$E$46,'Detail'!$C$5:$C$46,A9)</x:f>
        <x:v>791</x:v>
      </x:c>
      <x:c r="D9" s="10" t="n">
        <x:f>SUMIFS('Detail'!$F$5:$F$46,'Detail'!$C$5:$C$46,A9)</x:f>
        <x:v>77</x:v>
      </x:c>
      <x:c r="E9" s="11" t="n">
        <x:f>IF(B9=0,"",C9/B9)</x:f>
        <x:v>0.9112903225806451</x:v>
      </x:c>
      <x:c r="F9" s="2"/>
      <x:c r="G9" s="2"/>
      <x:c r="H9" s="2"/>
    </x:row>
    <x:row r="10" ht="28" customHeight="1">
      <x:c r="A10" s="2" t="str">
        <x:v>Line C</x:v>
      </x:c>
      <x:c r="B10" s="10" t="n">
        <x:f>SUMIFS('Detail'!$D$5:$D$46,'Detail'!$C$5:$C$46,A10)</x:f>
        <x:v>938</x:v>
      </x:c>
      <x:c r="C10" s="10" t="n">
        <x:f>SUMIFS('Detail'!$E$5:$E$46,'Detail'!$C$5:$C$46,A10)</x:f>
        <x:v>859</x:v>
      </x:c>
      <x:c r="D10" s="10" t="n">
        <x:f>SUMIFS('Detail'!$F$5:$F$46,'Detail'!$C$5:$C$46,A10)</x:f>
        <x:v>79</x:v>
      </x:c>
      <x:c r="E10" s="11" t="n">
        <x:f>IF(B10=0,"",C10/B10)</x:f>
        <x:v>0.9157782515991472</x:v>
      </x:c>
      <x:c r="F10" s="2"/>
      <x:c r="G10" s="2"/>
      <x:c r="H10" s="2"/>
    </x:row>
    <x:row r="11" ht="28" customHeight="1">
      <x:c r="A11" s="15" t="str">
        <x:v>TOTAL</x:v>
      </x:c>
      <x:c r="B11" s="16" t="n">
        <x:f>SUM(B8:B10)</x:f>
        <x:v>2604</x:v>
      </x:c>
      <x:c r="C11" s="16" t="n">
        <x:f>SUM(C8:C10)</x:f>
        <x:v>2373</x:v>
      </x:c>
      <x:c r="D11" s="16" t="n">
        <x:f>SUM(D8:D10)</x:f>
        <x:v>231</x:v>
      </x:c>
      <x:c r="E11" s="17" t="n">
        <x:f>IF(B11=0,"",C11/B11)</x:f>
        <x:v>0.9112903225806451</x:v>
      </x:c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4" t="str">
        <x:v>First pass yield = first-pass units / completed units. Rates are weighted by volume.</x:v>
      </x:c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0" hidden="0" customWidth="1"/>
    <x:col min="3" max="3" width="1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4" customHeight="1">
      <x:c r="A1" s="3" t="str">
        <x:v>Production source records</x:v>
      </x:c>
      <x:c r="B1" s="2"/>
      <x:c r="C1" s="2"/>
      <x:c r="D1" s="2"/>
      <x:c r="E1" s="2"/>
      <x:c r="F1" s="2"/>
      <x:c r="G1" s="2"/>
    </x:row>
    <x:row r="2" ht="24" customHeight="1">
      <x:c r="A2" s="4" t="str">
        <x:v>Source: synthetic demonstration data</x:v>
      </x:c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30" customHeight="1">
      <x:c r="A4" s="7" t="str">
        <x:v>Production date</x:v>
      </x:c>
      <x:c r="B4" s="7" t="str">
        <x:v>Shift</x:v>
      </x:c>
      <x:c r="C4" s="7" t="str">
        <x:v>Production line</x:v>
      </x:c>
      <x:c r="D4" s="7" t="str">
        <x:v>Completed units</x:v>
      </x:c>
      <x:c r="E4" s="7" t="str">
        <x:v>First-pass units</x:v>
      </x:c>
      <x:c r="F4" s="7" t="str">
        <x:v>Reworked units</x:v>
      </x:c>
      <x:c r="G4" s="7" t="str">
        <x:v>First pass yield</x:v>
      </x:c>
    </x:row>
    <x:row r="5" ht="24" customHeight="1">
      <x:c r="A5" s="18" t="d">
        <x:v>2026-10-05T00:00:00.000Z</x:v>
      </x:c>
      <x:c r="B5" s="20" t="n">
        <x:v>1</x:v>
      </x:c>
      <x:c r="C5" s="2" t="str">
        <x:v>Line A</x:v>
      </x:c>
      <x:c r="D5" s="10" t="n">
        <x:v>47</x:v>
      </x:c>
      <x:c r="E5" s="10" t="n">
        <x:v>43</x:v>
      </x:c>
      <x:c r="F5" s="10" t="n">
        <x:f>D5-E5</x:f>
        <x:v>4</x:v>
      </x:c>
      <x:c r="G5" s="11" t="n">
        <x:f>IF(D5=0,"",E5/D5)</x:f>
        <x:v>0.9148936170212766</x:v>
      </x:c>
    </x:row>
    <x:row r="6" ht="24" customHeight="1">
      <x:c r="A6" s="18" t="d">
        <x:v>2026-10-05T00:00:00.000Z</x:v>
      </x:c>
      <x:c r="B6" s="20" t="n">
        <x:v>1</x:v>
      </x:c>
      <x:c r="C6" s="2" t="str">
        <x:v>Line B</x:v>
      </x:c>
      <x:c r="D6" s="10" t="n">
        <x:v>52</x:v>
      </x:c>
      <x:c r="E6" s="10" t="n">
        <x:v>47</x:v>
      </x:c>
      <x:c r="F6" s="10" t="n">
        <x:f>D6-E6</x:f>
        <x:v>5</x:v>
      </x:c>
      <x:c r="G6" s="11" t="n">
        <x:f>IF(D6=0,"",E6/D6)</x:f>
        <x:v>0.9038461538461539</x:v>
      </x:c>
    </x:row>
    <x:row r="7" ht="24" customHeight="1">
      <x:c r="A7" s="18" t="d">
        <x:v>2026-10-05T00:00:00.000Z</x:v>
      </x:c>
      <x:c r="B7" s="20" t="n">
        <x:v>1</x:v>
      </x:c>
      <x:c r="C7" s="2" t="str">
        <x:v>Line C</x:v>
      </x:c>
      <x:c r="D7" s="10" t="n">
        <x:v>57</x:v>
      </x:c>
      <x:c r="E7" s="10" t="n">
        <x:v>51</x:v>
      </x:c>
      <x:c r="F7" s="10" t="n">
        <x:f>D7-E7</x:f>
        <x:v>6</x:v>
      </x:c>
      <x:c r="G7" s="11" t="n">
        <x:f>IF(D7=0,"",E7/D7)</x:f>
        <x:v>0.8947368421052632</x:v>
      </x:c>
    </x:row>
    <x:row r="8" ht="24" customHeight="1">
      <x:c r="A8" s="18" t="d">
        <x:v>2026-10-05T00:00:00.000Z</x:v>
      </x:c>
      <x:c r="B8" s="20" t="n">
        <x:v>2</x:v>
      </x:c>
      <x:c r="C8" s="2" t="str">
        <x:v>Line A</x:v>
      </x:c>
      <x:c r="D8" s="10" t="n">
        <x:v>49</x:v>
      </x:c>
      <x:c r="E8" s="10" t="n">
        <x:v>44</x:v>
      </x:c>
      <x:c r="F8" s="10" t="n">
        <x:f>D8-E8</x:f>
        <x:v>5</x:v>
      </x:c>
      <x:c r="G8" s="11" t="n">
        <x:f>IF(D8=0,"",E8/D8)</x:f>
        <x:v>0.8979591836734694</x:v>
      </x:c>
    </x:row>
    <x:row r="9" ht="24" customHeight="1">
      <x:c r="A9" s="18" t="d">
        <x:v>2026-10-05T00:00:00.000Z</x:v>
      </x:c>
      <x:c r="B9" s="20" t="n">
        <x:v>2</x:v>
      </x:c>
      <x:c r="C9" s="2" t="str">
        <x:v>Line B</x:v>
      </x:c>
      <x:c r="D9" s="10" t="n">
        <x:v>54</x:v>
      </x:c>
      <x:c r="E9" s="10" t="n">
        <x:v>48</x:v>
      </x:c>
      <x:c r="F9" s="10" t="n">
        <x:f>D9-E9</x:f>
        <x:v>6</x:v>
      </x:c>
      <x:c r="G9" s="11" t="n">
        <x:f>IF(D9=0,"",E9/D9)</x:f>
        <x:v>0.8888888888888888</x:v>
      </x:c>
    </x:row>
    <x:row r="10" ht="24" customHeight="1">
      <x:c r="A10" s="18" t="d">
        <x:v>2026-10-05T00:00:00.000Z</x:v>
      </x:c>
      <x:c r="B10" s="20" t="n">
        <x:v>2</x:v>
      </x:c>
      <x:c r="C10" s="2" t="str">
        <x:v>Line C</x:v>
      </x:c>
      <x:c r="D10" s="10" t="n">
        <x:v>59</x:v>
      </x:c>
      <x:c r="E10" s="10" t="n">
        <x:v>52</x:v>
      </x:c>
      <x:c r="F10" s="10" t="n">
        <x:f>D10-E10</x:f>
        <x:v>7</x:v>
      </x:c>
      <x:c r="G10" s="11" t="n">
        <x:f>IF(D10=0,"",E10/D10)</x:f>
        <x:v>0.8813559322033898</x:v>
      </x:c>
    </x:row>
    <x:row r="11" ht="24" customHeight="1">
      <x:c r="A11" s="18" t="d">
        <x:v>2026-10-06T00:00:00.000Z</x:v>
      </x:c>
      <x:c r="B11" s="20" t="n">
        <x:v>1</x:v>
      </x:c>
      <x:c r="C11" s="2" t="str">
        <x:v>Line A</x:v>
      </x:c>
      <x:c r="D11" s="10" t="n">
        <x:v>50</x:v>
      </x:c>
      <x:c r="E11" s="10" t="n">
        <x:v>45</x:v>
      </x:c>
      <x:c r="F11" s="10" t="n">
        <x:f>D11-E11</x:f>
        <x:v>5</x:v>
      </x:c>
      <x:c r="G11" s="11" t="n">
        <x:f>IF(D11=0,"",E11/D11)</x:f>
        <x:v>0.9</x:v>
      </x:c>
    </x:row>
    <x:row r="12" ht="24" customHeight="1">
      <x:c r="A12" s="18" t="d">
        <x:v>2026-10-06T00:00:00.000Z</x:v>
      </x:c>
      <x:c r="B12" s="20" t="n">
        <x:v>1</x:v>
      </x:c>
      <x:c r="C12" s="2" t="str">
        <x:v>Line B</x:v>
      </x:c>
      <x:c r="D12" s="10" t="n">
        <x:v>55</x:v>
      </x:c>
      <x:c r="E12" s="10" t="n">
        <x:v>49</x:v>
      </x:c>
      <x:c r="F12" s="10" t="n">
        <x:f>D12-E12</x:f>
        <x:v>6</x:v>
      </x:c>
      <x:c r="G12" s="11" t="n">
        <x:f>IF(D12=0,"",E12/D12)</x:f>
        <x:v>0.8909090909090909</x:v>
      </x:c>
    </x:row>
    <x:row r="13" ht="24" customHeight="1">
      <x:c r="A13" s="18" t="d">
        <x:v>2026-10-06T00:00:00.000Z</x:v>
      </x:c>
      <x:c r="B13" s="20" t="n">
        <x:v>1</x:v>
      </x:c>
      <x:c r="C13" s="2" t="str">
        <x:v>Line C</x:v>
      </x:c>
      <x:c r="D13" s="10" t="n">
        <x:v>60</x:v>
      </x:c>
      <x:c r="E13" s="10" t="n">
        <x:v>53</x:v>
      </x:c>
      <x:c r="F13" s="10" t="n">
        <x:f>D13-E13</x:f>
        <x:v>7</x:v>
      </x:c>
      <x:c r="G13" s="11" t="n">
        <x:f>IF(D13=0,"",E13/D13)</x:f>
        <x:v>0.8833333333333333</x:v>
      </x:c>
    </x:row>
    <x:row r="14" ht="24" customHeight="1">
      <x:c r="A14" s="18" t="d">
        <x:v>2026-10-06T00:00:00.000Z</x:v>
      </x:c>
      <x:c r="B14" s="20" t="n">
        <x:v>2</x:v>
      </x:c>
      <x:c r="C14" s="2" t="str">
        <x:v>Line A</x:v>
      </x:c>
      <x:c r="D14" s="10" t="n">
        <x:v>52</x:v>
      </x:c>
      <x:c r="E14" s="10" t="n">
        <x:v>46</x:v>
      </x:c>
      <x:c r="F14" s="10" t="n">
        <x:f>D14-E14</x:f>
        <x:v>6</x:v>
      </x:c>
      <x:c r="G14" s="11" t="n">
        <x:f>IF(D14=0,"",E14/D14)</x:f>
        <x:v>0.8846153846153846</x:v>
      </x:c>
    </x:row>
    <x:row r="15" ht="24" customHeight="1">
      <x:c r="A15" s="18" t="d">
        <x:v>2026-10-06T00:00:00.000Z</x:v>
      </x:c>
      <x:c r="B15" s="20" t="n">
        <x:v>2</x:v>
      </x:c>
      <x:c r="C15" s="2" t="str">
        <x:v>Line B</x:v>
      </x:c>
      <x:c r="D15" s="10" t="n">
        <x:v>57</x:v>
      </x:c>
      <x:c r="E15" s="10" t="n">
        <x:v>50</x:v>
      </x:c>
      <x:c r="F15" s="10" t="n">
        <x:f>D15-E15</x:f>
        <x:v>7</x:v>
      </x:c>
      <x:c r="G15" s="11" t="n">
        <x:f>IF(D15=0,"",E15/D15)</x:f>
        <x:v>0.8771929824561403</x:v>
      </x:c>
    </x:row>
    <x:row r="16" ht="24" customHeight="1">
      <x:c r="A16" s="18" t="d">
        <x:v>2026-10-06T00:00:00.000Z</x:v>
      </x:c>
      <x:c r="B16" s="20" t="n">
        <x:v>2</x:v>
      </x:c>
      <x:c r="C16" s="2" t="str">
        <x:v>Line C</x:v>
      </x:c>
      <x:c r="D16" s="10" t="n">
        <x:v>62</x:v>
      </x:c>
      <x:c r="E16" s="10" t="n">
        <x:v>54</x:v>
      </x:c>
      <x:c r="F16" s="10" t="n">
        <x:f>D16-E16</x:f>
        <x:v>8</x:v>
      </x:c>
      <x:c r="G16" s="11" t="n">
        <x:f>IF(D16=0,"",E16/D16)</x:f>
        <x:v>0.8709677419354839</x:v>
      </x:c>
    </x:row>
    <x:row r="17" ht="24" customHeight="1">
      <x:c r="A17" s="18" t="d">
        <x:v>2026-10-07T00:00:00.000Z</x:v>
      </x:c>
      <x:c r="B17" s="20" t="n">
        <x:v>1</x:v>
      </x:c>
      <x:c r="C17" s="2" t="str">
        <x:v>Line A</x:v>
      </x:c>
      <x:c r="D17" s="10" t="n">
        <x:v>53</x:v>
      </x:c>
      <x:c r="E17" s="10" t="n">
        <x:v>47</x:v>
      </x:c>
      <x:c r="F17" s="10" t="n">
        <x:f>D17-E17</x:f>
        <x:v>6</x:v>
      </x:c>
      <x:c r="G17" s="11" t="n">
        <x:f>IF(D17=0,"",E17/D17)</x:f>
        <x:v>0.8867924528301887</x:v>
      </x:c>
    </x:row>
    <x:row r="18" ht="24" customHeight="1">
      <x:c r="A18" s="18" t="d">
        <x:v>2026-10-07T00:00:00.000Z</x:v>
      </x:c>
      <x:c r="B18" s="20" t="n">
        <x:v>1</x:v>
      </x:c>
      <x:c r="C18" s="2" t="str">
        <x:v>Line B</x:v>
      </x:c>
      <x:c r="D18" s="10" t="n">
        <x:v>58</x:v>
      </x:c>
      <x:c r="E18" s="10" t="n">
        <x:v>51</x:v>
      </x:c>
      <x:c r="F18" s="10" t="n">
        <x:f>D18-E18</x:f>
        <x:v>7</x:v>
      </x:c>
      <x:c r="G18" s="11" t="n">
        <x:f>IF(D18=0,"",E18/D18)</x:f>
        <x:v>0.8793103448275862</x:v>
      </x:c>
    </x:row>
    <x:row r="19" ht="24" customHeight="1">
      <x:c r="A19" s="18" t="d">
        <x:v>2026-10-07T00:00:00.000Z</x:v>
      </x:c>
      <x:c r="B19" s="20" t="n">
        <x:v>1</x:v>
      </x:c>
      <x:c r="C19" s="2" t="str">
        <x:v>Line C</x:v>
      </x:c>
      <x:c r="D19" s="10" t="n">
        <x:v>63</x:v>
      </x:c>
      <x:c r="E19" s="10" t="n">
        <x:v>55</x:v>
      </x:c>
      <x:c r="F19" s="10" t="n">
        <x:f>D19-E19</x:f>
        <x:v>8</x:v>
      </x:c>
      <x:c r="G19" s="11" t="n">
        <x:f>IF(D19=0,"",E19/D19)</x:f>
        <x:v>0.873015873015873</x:v>
      </x:c>
    </x:row>
    <x:row r="20" ht="24" customHeight="1">
      <x:c r="A20" s="18" t="d">
        <x:v>2026-10-07T00:00:00.000Z</x:v>
      </x:c>
      <x:c r="B20" s="20" t="n">
        <x:v>2</x:v>
      </x:c>
      <x:c r="C20" s="2" t="str">
        <x:v>Line A</x:v>
      </x:c>
      <x:c r="D20" s="10" t="n">
        <x:v>55</x:v>
      </x:c>
      <x:c r="E20" s="10" t="n">
        <x:v>48</x:v>
      </x:c>
      <x:c r="F20" s="10" t="n">
        <x:f>D20-E20</x:f>
        <x:v>7</x:v>
      </x:c>
      <x:c r="G20" s="11" t="n">
        <x:f>IF(D20=0,"",E20/D20)</x:f>
        <x:v>0.8727272727272727</x:v>
      </x:c>
    </x:row>
    <x:row r="21" ht="24" customHeight="1">
      <x:c r="A21" s="18" t="d">
        <x:v>2026-10-07T00:00:00.000Z</x:v>
      </x:c>
      <x:c r="B21" s="20" t="n">
        <x:v>2</x:v>
      </x:c>
      <x:c r="C21" s="2" t="str">
        <x:v>Line B</x:v>
      </x:c>
      <x:c r="D21" s="10" t="n">
        <x:v>60</x:v>
      </x:c>
      <x:c r="E21" s="10" t="n">
        <x:v>52</x:v>
      </x:c>
      <x:c r="F21" s="10" t="n">
        <x:f>D21-E21</x:f>
        <x:v>8</x:v>
      </x:c>
      <x:c r="G21" s="11" t="n">
        <x:f>IF(D21=0,"",E21/D21)</x:f>
        <x:v>0.8666666666666667</x:v>
      </x:c>
    </x:row>
    <x:row r="22" ht="24" customHeight="1">
      <x:c r="A22" s="18" t="d">
        <x:v>2026-10-07T00:00:00.000Z</x:v>
      </x:c>
      <x:c r="B22" s="20" t="n">
        <x:v>2</x:v>
      </x:c>
      <x:c r="C22" s="2" t="str">
        <x:v>Line C</x:v>
      </x:c>
      <x:c r="D22" s="10" t="n">
        <x:v>65</x:v>
      </x:c>
      <x:c r="E22" s="10" t="n">
        <x:v>62</x:v>
      </x:c>
      <x:c r="F22" s="10" t="n">
        <x:f>D22-E22</x:f>
        <x:v>3</x:v>
      </x:c>
      <x:c r="G22" s="11" t="n">
        <x:f>IF(D22=0,"",E22/D22)</x:f>
        <x:v>0.9538461538461539</x:v>
      </x:c>
    </x:row>
    <x:row r="23" ht="24" customHeight="1">
      <x:c r="A23" s="18" t="d">
        <x:v>2026-10-08T00:00:00.000Z</x:v>
      </x:c>
      <x:c r="B23" s="20" t="n">
        <x:v>1</x:v>
      </x:c>
      <x:c r="C23" s="2" t="str">
        <x:v>Line A</x:v>
      </x:c>
      <x:c r="D23" s="10" t="n">
        <x:v>56</x:v>
      </x:c>
      <x:c r="E23" s="10" t="n">
        <x:v>49</x:v>
      </x:c>
      <x:c r="F23" s="10" t="n">
        <x:f>D23-E23</x:f>
        <x:v>7</x:v>
      </x:c>
      <x:c r="G23" s="11" t="n">
        <x:f>IF(D23=0,"",E23/D23)</x:f>
        <x:v>0.875</x:v>
      </x:c>
    </x:row>
    <x:row r="24" ht="24" customHeight="1">
      <x:c r="A24" s="18" t="d">
        <x:v>2026-10-08T00:00:00.000Z</x:v>
      </x:c>
      <x:c r="B24" s="20" t="n">
        <x:v>1</x:v>
      </x:c>
      <x:c r="C24" s="2" t="str">
        <x:v>Line B</x:v>
      </x:c>
      <x:c r="D24" s="10" t="n">
        <x:v>61</x:v>
      </x:c>
      <x:c r="E24" s="10" t="n">
        <x:v>53</x:v>
      </x:c>
      <x:c r="F24" s="10" t="n">
        <x:f>D24-E24</x:f>
        <x:v>8</x:v>
      </x:c>
      <x:c r="G24" s="11" t="n">
        <x:f>IF(D24=0,"",E24/D24)</x:f>
        <x:v>0.8688524590163934</x:v>
      </x:c>
    </x:row>
    <x:row r="25" ht="24" customHeight="1">
      <x:c r="A25" s="18" t="d">
        <x:v>2026-10-08T00:00:00.000Z</x:v>
      </x:c>
      <x:c r="B25" s="20" t="n">
        <x:v>1</x:v>
      </x:c>
      <x:c r="C25" s="2" t="str">
        <x:v>Line C</x:v>
      </x:c>
      <x:c r="D25" s="10" t="n">
        <x:v>66</x:v>
      </x:c>
      <x:c r="E25" s="10" t="n">
        <x:v>63</x:v>
      </x:c>
      <x:c r="F25" s="10" t="n">
        <x:f>D25-E25</x:f>
        <x:v>3</x:v>
      </x:c>
      <x:c r="G25" s="11" t="n">
        <x:f>IF(D25=0,"",E25/D25)</x:f>
        <x:v>0.9545454545454546</x:v>
      </x:c>
    </x:row>
    <x:row r="26" ht="24" customHeight="1">
      <x:c r="A26" s="18" t="d">
        <x:v>2026-10-08T00:00:00.000Z</x:v>
      </x:c>
      <x:c r="B26" s="20" t="n">
        <x:v>2</x:v>
      </x:c>
      <x:c r="C26" s="2" t="str">
        <x:v>Line A</x:v>
      </x:c>
      <x:c r="D26" s="10" t="n">
        <x:v>58</x:v>
      </x:c>
      <x:c r="E26" s="10" t="n">
        <x:v>50</x:v>
      </x:c>
      <x:c r="F26" s="10" t="n">
        <x:f>D26-E26</x:f>
        <x:v>8</x:v>
      </x:c>
      <x:c r="G26" s="11" t="n">
        <x:f>IF(D26=0,"",E26/D26)</x:f>
        <x:v>0.8620689655172413</x:v>
      </x:c>
    </x:row>
    <x:row r="27" ht="24" customHeight="1">
      <x:c r="A27" s="18" t="d">
        <x:v>2026-10-08T00:00:00.000Z</x:v>
      </x:c>
      <x:c r="B27" s="20" t="n">
        <x:v>2</x:v>
      </x:c>
      <x:c r="C27" s="2" t="str">
        <x:v>Line B</x:v>
      </x:c>
      <x:c r="D27" s="10" t="n">
        <x:v>63</x:v>
      </x:c>
      <x:c r="E27" s="10" t="n">
        <x:v>60</x:v>
      </x:c>
      <x:c r="F27" s="10" t="n">
        <x:f>D27-E27</x:f>
        <x:v>3</x:v>
      </x:c>
      <x:c r="G27" s="11" t="n">
        <x:f>IF(D27=0,"",E27/D27)</x:f>
        <x:v>0.9523809523809523</x:v>
      </x:c>
    </x:row>
    <x:row r="28" ht="24" customHeight="1">
      <x:c r="A28" s="18" t="d">
        <x:v>2026-10-08T00:00:00.000Z</x:v>
      </x:c>
      <x:c r="B28" s="20" t="n">
        <x:v>2</x:v>
      </x:c>
      <x:c r="C28" s="2" t="str">
        <x:v>Line C</x:v>
      </x:c>
      <x:c r="D28" s="10" t="n">
        <x:v>68</x:v>
      </x:c>
      <x:c r="E28" s="10" t="n">
        <x:v>64</x:v>
      </x:c>
      <x:c r="F28" s="10" t="n">
        <x:f>D28-E28</x:f>
        <x:v>4</x:v>
      </x:c>
      <x:c r="G28" s="11" t="n">
        <x:f>IF(D28=0,"",E28/D28)</x:f>
        <x:v>0.9411764705882353</x:v>
      </x:c>
    </x:row>
    <x:row r="29" ht="24" customHeight="1">
      <x:c r="A29" s="18" t="d">
        <x:v>2026-10-09T00:00:00.000Z</x:v>
      </x:c>
      <x:c r="B29" s="20" t="n">
        <x:v>1</x:v>
      </x:c>
      <x:c r="C29" s="2" t="str">
        <x:v>Line A</x:v>
      </x:c>
      <x:c r="D29" s="10" t="n">
        <x:v>59</x:v>
      </x:c>
      <x:c r="E29" s="10" t="n">
        <x:v>51</x:v>
      </x:c>
      <x:c r="F29" s="10" t="n">
        <x:f>D29-E29</x:f>
        <x:v>8</x:v>
      </x:c>
      <x:c r="G29" s="11" t="n">
        <x:f>IF(D29=0,"",E29/D29)</x:f>
        <x:v>0.864406779661017</x:v>
      </x:c>
    </x:row>
    <x:row r="30" ht="24" customHeight="1">
      <x:c r="A30" s="18" t="d">
        <x:v>2026-10-09T00:00:00.000Z</x:v>
      </x:c>
      <x:c r="B30" s="20" t="n">
        <x:v>1</x:v>
      </x:c>
      <x:c r="C30" s="2" t="str">
        <x:v>Line B</x:v>
      </x:c>
      <x:c r="D30" s="10" t="n">
        <x:v>64</x:v>
      </x:c>
      <x:c r="E30" s="10" t="n">
        <x:v>61</x:v>
      </x:c>
      <x:c r="F30" s="10" t="n">
        <x:f>D30-E30</x:f>
        <x:v>3</x:v>
      </x:c>
      <x:c r="G30" s="11" t="n">
        <x:f>IF(D30=0,"",E30/D30)</x:f>
        <x:v>0.953125</x:v>
      </x:c>
    </x:row>
    <x:row r="31" ht="24" customHeight="1">
      <x:c r="A31" s="18" t="d">
        <x:v>2026-10-09T00:00:00.000Z</x:v>
      </x:c>
      <x:c r="B31" s="20" t="n">
        <x:v>1</x:v>
      </x:c>
      <x:c r="C31" s="2" t="str">
        <x:v>Line C</x:v>
      </x:c>
      <x:c r="D31" s="10" t="n">
        <x:v>69</x:v>
      </x:c>
      <x:c r="E31" s="10" t="n">
        <x:v>65</x:v>
      </x:c>
      <x:c r="F31" s="10" t="n">
        <x:f>D31-E31</x:f>
        <x:v>4</x:v>
      </x:c>
      <x:c r="G31" s="11" t="n">
        <x:f>IF(D31=0,"",E31/D31)</x:f>
        <x:v>0.9420289855072463</x:v>
      </x:c>
    </x:row>
    <x:row r="32" ht="24" customHeight="1">
      <x:c r="A32" s="18" t="d">
        <x:v>2026-10-09T00:00:00.000Z</x:v>
      </x:c>
      <x:c r="B32" s="20" t="n">
        <x:v>2</x:v>
      </x:c>
      <x:c r="C32" s="2" t="str">
        <x:v>Line A</x:v>
      </x:c>
      <x:c r="D32" s="10" t="n">
        <x:v>61</x:v>
      </x:c>
      <x:c r="E32" s="10" t="n">
        <x:v>58</x:v>
      </x:c>
      <x:c r="F32" s="10" t="n">
        <x:f>D32-E32</x:f>
        <x:v>3</x:v>
      </x:c>
      <x:c r="G32" s="11" t="n">
        <x:f>IF(D32=0,"",E32/D32)</x:f>
        <x:v>0.9508196721311475</x:v>
      </x:c>
    </x:row>
    <x:row r="33" ht="24" customHeight="1">
      <x:c r="A33" s="18" t="d">
        <x:v>2026-10-09T00:00:00.000Z</x:v>
      </x:c>
      <x:c r="B33" s="20" t="n">
        <x:v>2</x:v>
      </x:c>
      <x:c r="C33" s="2" t="str">
        <x:v>Line B</x:v>
      </x:c>
      <x:c r="D33" s="10" t="n">
        <x:v>66</x:v>
      </x:c>
      <x:c r="E33" s="10" t="n">
        <x:v>62</x:v>
      </x:c>
      <x:c r="F33" s="10" t="n">
        <x:f>D33-E33</x:f>
        <x:v>4</x:v>
      </x:c>
      <x:c r="G33" s="11" t="n">
        <x:f>IF(D33=0,"",E33/D33)</x:f>
        <x:v>0.9393939393939394</x:v>
      </x:c>
    </x:row>
    <x:row r="34" ht="24" customHeight="1">
      <x:c r="A34" s="18" t="d">
        <x:v>2026-10-09T00:00:00.000Z</x:v>
      </x:c>
      <x:c r="B34" s="20" t="n">
        <x:v>2</x:v>
      </x:c>
      <x:c r="C34" s="2" t="str">
        <x:v>Line C</x:v>
      </x:c>
      <x:c r="D34" s="10" t="n">
        <x:v>71</x:v>
      </x:c>
      <x:c r="E34" s="10" t="n">
        <x:v>66</x:v>
      </x:c>
      <x:c r="F34" s="10" t="n">
        <x:f>D34-E34</x:f>
        <x:v>5</x:v>
      </x:c>
      <x:c r="G34" s="11" t="n">
        <x:f>IF(D34=0,"",E34/D34)</x:f>
        <x:v>0.9295774647887324</x:v>
      </x:c>
    </x:row>
    <x:row r="35" ht="24" customHeight="1">
      <x:c r="A35" s="18" t="d">
        <x:v>2026-10-10T00:00:00.000Z</x:v>
      </x:c>
      <x:c r="B35" s="20" t="n">
        <x:v>1</x:v>
      </x:c>
      <x:c r="C35" s="2" t="str">
        <x:v>Line A</x:v>
      </x:c>
      <x:c r="D35" s="10" t="n">
        <x:v>62</x:v>
      </x:c>
      <x:c r="E35" s="10" t="n">
        <x:v>59</x:v>
      </x:c>
      <x:c r="F35" s="10" t="n">
        <x:f>D35-E35</x:f>
        <x:v>3</x:v>
      </x:c>
      <x:c r="G35" s="11" t="n">
        <x:f>IF(D35=0,"",E35/D35)</x:f>
        <x:v>0.9516129032258065</x:v>
      </x:c>
    </x:row>
    <x:row r="36" ht="24" customHeight="1">
      <x:c r="A36" s="18" t="d">
        <x:v>2026-10-10T00:00:00.000Z</x:v>
      </x:c>
      <x:c r="B36" s="20" t="n">
        <x:v>1</x:v>
      </x:c>
      <x:c r="C36" s="2" t="str">
        <x:v>Line B</x:v>
      </x:c>
      <x:c r="D36" s="10" t="n">
        <x:v>67</x:v>
      </x:c>
      <x:c r="E36" s="10" t="n">
        <x:v>63</x:v>
      </x:c>
      <x:c r="F36" s="10" t="n">
        <x:f>D36-E36</x:f>
        <x:v>4</x:v>
      </x:c>
      <x:c r="G36" s="11" t="n">
        <x:f>IF(D36=0,"",E36/D36)</x:f>
        <x:v>0.9402985074626866</x:v>
      </x:c>
    </x:row>
    <x:row r="37" ht="24" customHeight="1">
      <x:c r="A37" s="18" t="d">
        <x:v>2026-10-10T00:00:00.000Z</x:v>
      </x:c>
      <x:c r="B37" s="20" t="n">
        <x:v>1</x:v>
      </x:c>
      <x:c r="C37" s="2" t="str">
        <x:v>Line C</x:v>
      </x:c>
      <x:c r="D37" s="10" t="n">
        <x:v>72</x:v>
      </x:c>
      <x:c r="E37" s="10" t="n">
        <x:v>67</x:v>
      </x:c>
      <x:c r="F37" s="10" t="n">
        <x:f>D37-E37</x:f>
        <x:v>5</x:v>
      </x:c>
      <x:c r="G37" s="11" t="n">
        <x:f>IF(D37=0,"",E37/D37)</x:f>
        <x:v>0.9305555555555556</x:v>
      </x:c>
    </x:row>
    <x:row r="38" ht="24" customHeight="1">
      <x:c r="A38" s="18" t="d">
        <x:v>2026-10-10T00:00:00.000Z</x:v>
      </x:c>
      <x:c r="B38" s="20" t="n">
        <x:v>2</x:v>
      </x:c>
      <x:c r="C38" s="2" t="str">
        <x:v>Line A</x:v>
      </x:c>
      <x:c r="D38" s="10" t="n">
        <x:v>64</x:v>
      </x:c>
      <x:c r="E38" s="10" t="n">
        <x:v>60</x:v>
      </x:c>
      <x:c r="F38" s="10" t="n">
        <x:f>D38-E38</x:f>
        <x:v>4</x:v>
      </x:c>
      <x:c r="G38" s="11" t="n">
        <x:f>IF(D38=0,"",E38/D38)</x:f>
        <x:v>0.9375</x:v>
      </x:c>
    </x:row>
    <x:row r="39" ht="24" customHeight="1">
      <x:c r="A39" s="18" t="d">
        <x:v>2026-10-10T00:00:00.000Z</x:v>
      </x:c>
      <x:c r="B39" s="20" t="n">
        <x:v>2</x:v>
      </x:c>
      <x:c r="C39" s="2" t="str">
        <x:v>Line B</x:v>
      </x:c>
      <x:c r="D39" s="10" t="n">
        <x:v>69</x:v>
      </x:c>
      <x:c r="E39" s="10" t="n">
        <x:v>64</x:v>
      </x:c>
      <x:c r="F39" s="10" t="n">
        <x:f>D39-E39</x:f>
        <x:v>5</x:v>
      </x:c>
      <x:c r="G39" s="11" t="n">
        <x:f>IF(D39=0,"",E39/D39)</x:f>
        <x:v>0.927536231884058</x:v>
      </x:c>
    </x:row>
    <x:row r="40" ht="24" customHeight="1">
      <x:c r="A40" s="18" t="d">
        <x:v>2026-10-10T00:00:00.000Z</x:v>
      </x:c>
      <x:c r="B40" s="20" t="n">
        <x:v>2</x:v>
      </x:c>
      <x:c r="C40" s="2" t="str">
        <x:v>Line C</x:v>
      </x:c>
      <x:c r="D40" s="10" t="n">
        <x:v>74</x:v>
      </x:c>
      <x:c r="E40" s="10" t="n">
        <x:v>68</x:v>
      </x:c>
      <x:c r="F40" s="10" t="n">
        <x:f>D40-E40</x:f>
        <x:v>6</x:v>
      </x:c>
      <x:c r="G40" s="11" t="n">
        <x:f>IF(D40=0,"",E40/D40)</x:f>
        <x:v>0.918918918918919</x:v>
      </x:c>
    </x:row>
    <x:row r="41" ht="24" customHeight="1">
      <x:c r="A41" s="18" t="d">
        <x:v>2026-10-11T00:00:00.000Z</x:v>
      </x:c>
      <x:c r="B41" s="20" t="n">
        <x:v>1</x:v>
      </x:c>
      <x:c r="C41" s="2" t="str">
        <x:v>Line A</x:v>
      </x:c>
      <x:c r="D41" s="10" t="n">
        <x:v>65</x:v>
      </x:c>
      <x:c r="E41" s="10" t="n">
        <x:v>61</x:v>
      </x:c>
      <x:c r="F41" s="10" t="n">
        <x:f>D41-E41</x:f>
        <x:v>4</x:v>
      </x:c>
      <x:c r="G41" s="11" t="n">
        <x:f>IF(D41=0,"",E41/D41)</x:f>
        <x:v>0.9384615384615385</x:v>
      </x:c>
    </x:row>
    <x:row r="42" ht="24" customHeight="1">
      <x:c r="A42" s="18" t="d">
        <x:v>2026-10-11T00:00:00.000Z</x:v>
      </x:c>
      <x:c r="B42" s="20" t="n">
        <x:v>1</x:v>
      </x:c>
      <x:c r="C42" s="2" t="str">
        <x:v>Line B</x:v>
      </x:c>
      <x:c r="D42" s="10" t="n">
        <x:v>70</x:v>
      </x:c>
      <x:c r="E42" s="10" t="n">
        <x:v>65</x:v>
      </x:c>
      <x:c r="F42" s="10" t="n">
        <x:f>D42-E42</x:f>
        <x:v>5</x:v>
      </x:c>
      <x:c r="G42" s="11" t="n">
        <x:f>IF(D42=0,"",E42/D42)</x:f>
        <x:v>0.9285714285714286</x:v>
      </x:c>
    </x:row>
    <x:row r="43" ht="24" customHeight="1">
      <x:c r="A43" s="18" t="d">
        <x:v>2026-10-11T00:00:00.000Z</x:v>
      </x:c>
      <x:c r="B43" s="20" t="n">
        <x:v>1</x:v>
      </x:c>
      <x:c r="C43" s="2" t="str">
        <x:v>Line C</x:v>
      </x:c>
      <x:c r="D43" s="10" t="n">
        <x:v>75</x:v>
      </x:c>
      <x:c r="E43" s="10" t="n">
        <x:v>69</x:v>
      </x:c>
      <x:c r="F43" s="10" t="n">
        <x:f>D43-E43</x:f>
        <x:v>6</x:v>
      </x:c>
      <x:c r="G43" s="11" t="n">
        <x:f>IF(D43=0,"",E43/D43)</x:f>
        <x:v>0.92</x:v>
      </x:c>
    </x:row>
    <x:row r="44" ht="24" customHeight="1">
      <x:c r="A44" s="18" t="d">
        <x:v>2026-10-11T00:00:00.000Z</x:v>
      </x:c>
      <x:c r="B44" s="20" t="n">
        <x:v>2</x:v>
      </x:c>
      <x:c r="C44" s="2" t="str">
        <x:v>Line A</x:v>
      </x:c>
      <x:c r="D44" s="10" t="n">
        <x:v>67</x:v>
      </x:c>
      <x:c r="E44" s="10" t="n">
        <x:v>62</x:v>
      </x:c>
      <x:c r="F44" s="10" t="n">
        <x:f>D44-E44</x:f>
        <x:v>5</x:v>
      </x:c>
      <x:c r="G44" s="11" t="n">
        <x:f>IF(D44=0,"",E44/D44)</x:f>
        <x:v>0.9253731343283582</x:v>
      </x:c>
    </x:row>
    <x:row r="45" ht="24" customHeight="1">
      <x:c r="A45" s="18" t="d">
        <x:v>2026-10-11T00:00:00.000Z</x:v>
      </x:c>
      <x:c r="B45" s="20" t="n">
        <x:v>2</x:v>
      </x:c>
      <x:c r="C45" s="2" t="str">
        <x:v>Line B</x:v>
      </x:c>
      <x:c r="D45" s="10" t="n">
        <x:v>72</x:v>
      </x:c>
      <x:c r="E45" s="10" t="n">
        <x:v>66</x:v>
      </x:c>
      <x:c r="F45" s="10" t="n">
        <x:f>D45-E45</x:f>
        <x:v>6</x:v>
      </x:c>
      <x:c r="G45" s="11" t="n">
        <x:f>IF(D45=0,"",E45/D45)</x:f>
        <x:v>0.9166666666666666</x:v>
      </x:c>
    </x:row>
    <x:row r="46" ht="24" customHeight="1">
      <x:c r="A46" s="18" t="d">
        <x:v>2026-10-11T00:00:00.000Z</x:v>
      </x:c>
      <x:c r="B46" s="20" t="n">
        <x:v>2</x:v>
      </x:c>
      <x:c r="C46" s="2" t="str">
        <x:v>Line C</x:v>
      </x:c>
      <x:c r="D46" s="10" t="n">
        <x:v>77</x:v>
      </x:c>
      <x:c r="E46" s="10" t="n">
        <x:v>70</x:v>
      </x:c>
      <x:c r="F46" s="10" t="n">
        <x:f>D46-E46</x:f>
        <x:v>7</x:v>
      </x:c>
      <x:c r="G46" s="11" t="n">
        <x:f>IF(D46=0,"",E46/D46)</x:f>
        <x:v>0.9090909090909091</x:v>
      </x:c>
    </x:row>
  </x:sheetData>
  <x:pageMargins left="0.7" right="0.7" top="0.75" bottom="0.75" header="0.3" footer="0.3"/>
</x:worksheet>
</file>